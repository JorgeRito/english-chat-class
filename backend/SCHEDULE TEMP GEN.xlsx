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126" documentId="11_0B1D56BE9CDCCE836B02CE7A5FB0D4A9BBFD1C62" xr6:coauthVersionLast="47" xr6:coauthVersionMax="47" xr10:uidLastSave="{1B0E3BD1-B263-4E5F-B812-1EBC3B64B9D2}"/>
  <bookViews>
    <workbookView xWindow="240" yWindow="105" windowWidth="14805" windowHeight="8010" xr2:uid="{00000000-000D-0000-FFFF-FFFF00000000}"/>
  </bookViews>
  <sheets>
    <sheet name="DIC 1-5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2" i="1"/>
</calcChain>
</file>

<file path=xl/sharedStrings.xml><?xml version="1.0" encoding="utf-8"?>
<sst xmlns="http://schemas.openxmlformats.org/spreadsheetml/2006/main" count="41" uniqueCount="18">
  <si>
    <t>ID</t>
  </si>
  <si>
    <t>ALUMNO</t>
  </si>
  <si>
    <t>NIVEL</t>
  </si>
  <si>
    <t>LUNES</t>
  </si>
  <si>
    <t>MARTES</t>
  </si>
  <si>
    <t>MIERCOLES</t>
  </si>
  <si>
    <t>JUEVES</t>
  </si>
  <si>
    <t>VIERNES</t>
  </si>
  <si>
    <t>SABADO</t>
  </si>
  <si>
    <t>BEG</t>
  </si>
  <si>
    <t>O-10AM</t>
  </si>
  <si>
    <t>P-10AM</t>
  </si>
  <si>
    <t>INT</t>
  </si>
  <si>
    <t>O-3PM</t>
  </si>
  <si>
    <t>O-4PM</t>
  </si>
  <si>
    <t>P-5PM</t>
  </si>
  <si>
    <t>AVD</t>
  </si>
  <si>
    <t>O-6PM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</si>
</sst>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7DDF568DBFA648E1/STUDENTS/STUDE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  <sheetDataSet>
      <sheetData sheetId="0">
        <row r="1">
          <cell r="A1" t="str">
            <v>ID</v>
          </cell>
          <cell r="B1" t="str">
            <v>FULL NAME</v>
          </cell>
          <cell r="C1" t="str">
            <v>PHONE NUMBER</v>
          </cell>
          <cell r="D1" t="str">
            <v>PLAN</v>
          </cell>
          <cell r="E1" t="str">
            <v>MOD</v>
          </cell>
          <cell r="F1" t="str">
            <v>STATUS</v>
          </cell>
        </row>
        <row r="2">
          <cell r="A2">
            <v>1</v>
          </cell>
          <cell r="B2" t="str">
            <v>ALAN GUTIERREZ</v>
          </cell>
          <cell r="C2">
            <v>4741103857</v>
          </cell>
          <cell r="E2" t="str">
            <v xml:space="preserve">IN PERSON </v>
          </cell>
          <cell r="F2" t="str">
            <v xml:space="preserve">ACTIVE </v>
          </cell>
        </row>
        <row r="3">
          <cell r="A3">
            <v>2</v>
          </cell>
          <cell r="B3" t="str">
            <v>ALONDA ISAMAR</v>
          </cell>
          <cell r="C3">
            <v>4311095232</v>
          </cell>
          <cell r="E3" t="str">
            <v>ONLINE</v>
          </cell>
          <cell r="F3" t="str">
            <v xml:space="preserve">ACTIVE </v>
          </cell>
        </row>
        <row r="4">
          <cell r="A4">
            <v>3</v>
          </cell>
          <cell r="B4" t="str">
            <v>ARIADNE SANCHEZ</v>
          </cell>
          <cell r="C4">
            <v>4741543960</v>
          </cell>
          <cell r="E4" t="str">
            <v>IN PERSON</v>
          </cell>
          <cell r="F4" t="str">
            <v xml:space="preserve">ACTIVE </v>
          </cell>
        </row>
        <row r="5">
          <cell r="A5">
            <v>4</v>
          </cell>
          <cell r="B5" t="str">
            <v>BRIANA SANCHEZ</v>
          </cell>
          <cell r="C5">
            <v>4741522558</v>
          </cell>
          <cell r="E5" t="str">
            <v>IN PERSON</v>
          </cell>
          <cell r="F5" t="str">
            <v xml:space="preserve">ACTIVE </v>
          </cell>
        </row>
        <row r="6">
          <cell r="A6">
            <v>5</v>
          </cell>
          <cell r="B6" t="str">
            <v>CHARO GUERRA</v>
          </cell>
          <cell r="C6">
            <v>4741143651</v>
          </cell>
          <cell r="E6" t="str">
            <v>ONLINE</v>
          </cell>
          <cell r="F6" t="str">
            <v xml:space="preserve">ACTIVE </v>
          </cell>
        </row>
        <row r="7">
          <cell r="A7">
            <v>6</v>
          </cell>
          <cell r="B7" t="str">
            <v>CRISTINA MARQUEZ</v>
          </cell>
          <cell r="C7">
            <v>4741104471</v>
          </cell>
          <cell r="E7" t="str">
            <v>ONLINE</v>
          </cell>
          <cell r="F7" t="str">
            <v xml:space="preserve">ACTIVE </v>
          </cell>
        </row>
        <row r="8">
          <cell r="A8">
            <v>7</v>
          </cell>
          <cell r="B8" t="str">
            <v>DANIEL PEREZ</v>
          </cell>
          <cell r="C8">
            <v>4745696781</v>
          </cell>
          <cell r="E8" t="str">
            <v xml:space="preserve">ONLINE </v>
          </cell>
          <cell r="F8" t="str">
            <v>GRAD</v>
          </cell>
        </row>
        <row r="9">
          <cell r="A9">
            <v>8</v>
          </cell>
          <cell r="B9" t="str">
            <v>GABY HERNANDEZ</v>
          </cell>
          <cell r="C9">
            <v>3951094654</v>
          </cell>
          <cell r="E9" t="str">
            <v>ONLINE</v>
          </cell>
          <cell r="F9" t="str">
            <v xml:space="preserve">ACTIVE </v>
          </cell>
        </row>
        <row r="10">
          <cell r="A10">
            <v>9</v>
          </cell>
          <cell r="B10" t="str">
            <v>LIZETH AGUILAR</v>
          </cell>
          <cell r="C10">
            <v>4747948077</v>
          </cell>
          <cell r="E10" t="str">
            <v>ONLINE</v>
          </cell>
          <cell r="F10" t="str">
            <v xml:space="preserve">ACTIVE </v>
          </cell>
        </row>
        <row r="11">
          <cell r="A11">
            <v>10</v>
          </cell>
          <cell r="B11" t="str">
            <v>SAM ROCHA</v>
          </cell>
          <cell r="C11">
            <v>4741120980</v>
          </cell>
          <cell r="E11" t="str">
            <v>ONLINE</v>
          </cell>
          <cell r="F11" t="str">
            <v xml:space="preserve">ACTIVE </v>
          </cell>
        </row>
        <row r="12">
          <cell r="A12">
            <v>11</v>
          </cell>
          <cell r="B12" t="str">
            <v>SAUL</v>
          </cell>
          <cell r="C12">
            <v>3311434948</v>
          </cell>
          <cell r="E12" t="str">
            <v>ONLINE</v>
          </cell>
          <cell r="F12" t="str">
            <v xml:space="preserve">ACTIVE </v>
          </cell>
        </row>
        <row r="13">
          <cell r="A13">
            <v>12</v>
          </cell>
          <cell r="B13" t="str">
            <v>SOL MARQUEZ</v>
          </cell>
          <cell r="C13" t="str">
            <v>+1 (830) 2528341</v>
          </cell>
          <cell r="E13" t="str">
            <v>ONLINE</v>
          </cell>
          <cell r="F13" t="str">
            <v xml:space="preserve">ACTIVE </v>
          </cell>
        </row>
        <row r="14">
          <cell r="A14">
            <v>13</v>
          </cell>
          <cell r="B14" t="str">
            <v>ALESSANDRO</v>
          </cell>
          <cell r="C14">
            <v>5532678330</v>
          </cell>
          <cell r="E14" t="str">
            <v>ONLINE</v>
          </cell>
          <cell r="F14" t="str">
            <v xml:space="preserve">ACTIVE </v>
          </cell>
        </row>
        <row r="15">
          <cell r="A15">
            <v>14</v>
          </cell>
          <cell r="B15" t="str">
            <v>LUPITA MUÑOZ</v>
          </cell>
          <cell r="C15">
            <v>3471042016</v>
          </cell>
          <cell r="E15" t="str">
            <v>ONLINE</v>
          </cell>
          <cell r="F15" t="str">
            <v xml:space="preserve">ACTIVE </v>
          </cell>
        </row>
        <row r="16">
          <cell r="A16">
            <v>15</v>
          </cell>
          <cell r="B16" t="str">
            <v>SARAHI KOLLATH</v>
          </cell>
          <cell r="C16" t="str">
            <v>+1 6084001943</v>
          </cell>
          <cell r="D16" t="str">
            <v>12 CLASES</v>
          </cell>
          <cell r="E16" t="str">
            <v>ONLINE</v>
          </cell>
          <cell r="F16" t="str">
            <v xml:space="preserve">ACTIVE </v>
          </cell>
        </row>
        <row r="17">
          <cell r="A17">
            <v>16</v>
          </cell>
          <cell r="B17" t="str">
            <v>MARNE GUZMAN</v>
          </cell>
          <cell r="C17">
            <v>4742063690</v>
          </cell>
          <cell r="E17" t="str">
            <v>MIXTO</v>
          </cell>
          <cell r="F17" t="str">
            <v xml:space="preserve">ACTIVE </v>
          </cell>
        </row>
        <row r="18">
          <cell r="A18">
            <v>17</v>
          </cell>
          <cell r="B18" t="str">
            <v>MEMO ESPINOZA</v>
          </cell>
          <cell r="C18">
            <v>4747372258</v>
          </cell>
          <cell r="D18" t="str">
            <v>12 CLASES</v>
          </cell>
          <cell r="E18" t="str">
            <v>PRESENCIAL</v>
          </cell>
          <cell r="F18" t="str">
            <v xml:space="preserve">ACTIVE </v>
          </cell>
        </row>
        <row r="19">
          <cell r="A19">
            <v>18</v>
          </cell>
          <cell r="B19" t="str">
            <v>GRETA ALEJANDRA VAZQUEZ VAZQUEZ</v>
          </cell>
          <cell r="C19">
            <v>4741485860</v>
          </cell>
          <cell r="D19" t="str">
            <v xml:space="preserve">6 CLASES X MES </v>
          </cell>
          <cell r="E19" t="str">
            <v>MIXTO</v>
          </cell>
          <cell r="F19" t="str">
            <v xml:space="preserve">ACTIVE </v>
          </cell>
        </row>
        <row r="20">
          <cell r="A20">
            <v>19</v>
          </cell>
          <cell r="B20" t="str">
            <v>CONY DE ALBA</v>
          </cell>
          <cell r="D20" t="str">
            <v>12 CLASES</v>
          </cell>
          <cell r="E20" t="str">
            <v>PRESENCIAL</v>
          </cell>
        </row>
        <row r="21">
          <cell r="A21">
            <v>20</v>
          </cell>
          <cell r="B21" t="str">
            <v xml:space="preserve">FERNANDA DE ALBA </v>
          </cell>
          <cell r="D21" t="str">
            <v>12 CLASES</v>
          </cell>
          <cell r="E21" t="str">
            <v>PRESENCIAL</v>
          </cell>
        </row>
        <row r="22">
          <cell r="A22">
            <v>21</v>
          </cell>
          <cell r="B22" t="str">
            <v>JOSE DARIO</v>
          </cell>
        </row>
        <row r="23">
          <cell r="A23">
            <v>22</v>
          </cell>
          <cell r="B23" t="str">
            <v>ALAN MAURICIO</v>
          </cell>
        </row>
        <row r="24">
          <cell r="A24">
            <v>23</v>
          </cell>
          <cell r="B24" t="str">
            <v>YATZEL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883583-68F0-47DC-A802-01627819CB3A}" name="Table1" displayName="Table1" ref="A1:B24" totalsRowShown="0">
  <autoFilter ref="A1:B24" xr:uid="{68883583-68F0-47DC-A802-01627819CB3A}">
    <filterColumn colId="0" hiddenButton="1"/>
    <filterColumn colId="1" hiddenButton="1"/>
  </autoFilter>
  <tableColumns count="2">
    <tableColumn id="1" xr3:uid="{0BB7A011-2D9B-4EBA-B95B-FC2F15564450}" name="ID"/>
    <tableColumn id="2" xr3:uid="{7279D9E8-5654-4734-887A-6891A8142C22}" name="ALUMNO">
      <calculatedColumnFormula>VLOOKUP(A2,[1]Hoja1!$A$1:$F$24,2,0)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topLeftCell="A4" workbookViewId="0">
      <selection activeCell="A11" sqref="A11:B24"/>
    </sheetView>
  </sheetViews>
  <sheetFormatPr defaultRowHeight="15"/>
  <cols>
    <col min="2" max="2" width="34.140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tr">
        <f>VLOOKUP(A2,[1]Hoja1!$A$1:$F$24,2,0)</f>
        <v>ALAN GUTIERREZ</v>
      </c>
      <c r="C2" t="s">
        <v>9</v>
      </c>
      <c r="D2" t="s">
        <v>10</v>
      </c>
      <c r="F2" t="s">
        <v>10</v>
      </c>
      <c r="H2" t="s">
        <v>10</v>
      </c>
    </row>
    <row r="3" spans="1:9">
      <c r="A3">
        <v>2</v>
      </c>
      <c r="B3" t="str">
        <f>VLOOKUP(A3,[1]Hoja1!$A$1:$F$24,2,0)</f>
        <v>ALONDA ISAMAR</v>
      </c>
      <c r="C3" t="s">
        <v>9</v>
      </c>
      <c r="D3" t="s">
        <v>10</v>
      </c>
      <c r="F3" t="s">
        <v>10</v>
      </c>
      <c r="H3" t="s">
        <v>10</v>
      </c>
    </row>
    <row r="4" spans="1:9">
      <c r="A4">
        <v>3</v>
      </c>
      <c r="B4" t="str">
        <f>VLOOKUP(A4,[1]Hoja1!$A$1:$F$24,2,0)</f>
        <v>ARIADNE SANCHEZ</v>
      </c>
      <c r="C4" t="s">
        <v>9</v>
      </c>
      <c r="D4" t="s">
        <v>11</v>
      </c>
      <c r="E4" t="s">
        <v>11</v>
      </c>
      <c r="G4" t="s">
        <v>11</v>
      </c>
    </row>
    <row r="5" spans="1:9">
      <c r="A5">
        <v>4</v>
      </c>
      <c r="B5" t="str">
        <f>VLOOKUP(A5,[1]Hoja1!$A$1:$F$24,2,0)</f>
        <v>BRIANA SANCHEZ</v>
      </c>
      <c r="C5" t="s">
        <v>12</v>
      </c>
      <c r="D5" t="s">
        <v>13</v>
      </c>
      <c r="F5" t="s">
        <v>13</v>
      </c>
      <c r="H5" t="s">
        <v>13</v>
      </c>
    </row>
    <row r="6" spans="1:9">
      <c r="A6">
        <v>5</v>
      </c>
      <c r="B6" t="str">
        <f>VLOOKUP(A6,[1]Hoja1!$A$1:$F$24,2,0)</f>
        <v>CHARO GUERRA</v>
      </c>
      <c r="C6" t="s">
        <v>12</v>
      </c>
      <c r="D6" t="s">
        <v>14</v>
      </c>
    </row>
    <row r="7" spans="1:9">
      <c r="A7">
        <v>6</v>
      </c>
      <c r="B7" t="str">
        <f>VLOOKUP(A7,[1]Hoja1!$A$1:$F$24,2,0)</f>
        <v>CRISTINA MARQUEZ</v>
      </c>
      <c r="C7" t="s">
        <v>12</v>
      </c>
      <c r="D7" t="s">
        <v>15</v>
      </c>
    </row>
    <row r="8" spans="1:9">
      <c r="A8">
        <v>7</v>
      </c>
      <c r="B8" t="str">
        <f>VLOOKUP(A8,[1]Hoja1!$A$1:$F$24,2,0)</f>
        <v>DANIEL PEREZ</v>
      </c>
      <c r="C8" t="s">
        <v>16</v>
      </c>
      <c r="D8" t="s">
        <v>17</v>
      </c>
      <c r="E8" t="s">
        <v>17</v>
      </c>
      <c r="G8" t="s">
        <v>17</v>
      </c>
    </row>
    <row r="9" spans="1:9">
      <c r="A9">
        <v>8</v>
      </c>
      <c r="B9" t="str">
        <f>VLOOKUP(A9,[1]Hoja1!$A$1:$F$24,2,0)</f>
        <v>GABY HERNANDEZ</v>
      </c>
      <c r="C9" t="s">
        <v>16</v>
      </c>
      <c r="D9" t="s">
        <v>17</v>
      </c>
      <c r="F9" t="s">
        <v>17</v>
      </c>
      <c r="G9" t="s">
        <v>17</v>
      </c>
    </row>
    <row r="10" spans="1:9">
      <c r="A10">
        <v>9</v>
      </c>
      <c r="B10" t="str">
        <f>VLOOKUP(A10,[1]Hoja1!$A$1:$F$24,2,0)</f>
        <v>LIZETH AGUILAR</v>
      </c>
      <c r="C10" t="s">
        <v>16</v>
      </c>
      <c r="D10" t="s">
        <v>17</v>
      </c>
      <c r="G10" t="s">
        <v>17</v>
      </c>
      <c r="H10" t="s">
        <v>17</v>
      </c>
    </row>
  </sheetData>
  <dataValidations count="1">
    <dataValidation type="list" allowBlank="1" showInputMessage="1" showErrorMessage="1" sqref="C2:C1048576" xr:uid="{617581F3-0AF0-4AAB-B328-391D8CAE5137}">
      <formula1>"BEG, INT, AVD"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English Chat</cp:lastModifiedBy>
  <cp:revision/>
  <dcterms:created xsi:type="dcterms:W3CDTF">2025-12-01T23:23:58Z</dcterms:created>
  <dcterms:modified xsi:type="dcterms:W3CDTF">2025-12-01T23:37:51Z</dcterms:modified>
  <cp:category/>
  <cp:contentStatus/>
</cp:coreProperties>
</file>